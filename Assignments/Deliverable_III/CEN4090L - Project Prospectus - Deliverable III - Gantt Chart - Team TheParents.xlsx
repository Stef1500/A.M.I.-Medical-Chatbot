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13_ncr:1_{029BAD52-F311-4B5C-9358-DD6DAFCA38A9}" xr6:coauthVersionLast="47" xr6:coauthVersionMax="47" xr10:uidLastSave="{00000000-0000-0000-0000-000000000000}"/>
  <bookViews>
    <workbookView xWindow="-31065" yWindow="615" windowWidth="28800" windowHeight="15345" xr2:uid="{C01F0217-75FC-4031-867D-ED391A827F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E46" i="1"/>
  <c r="F45" i="1"/>
  <c r="E45" i="1"/>
  <c r="E44" i="1"/>
  <c r="F44" i="1"/>
  <c r="F43" i="1"/>
  <c r="E43" i="1"/>
  <c r="F41" i="1"/>
  <c r="E41" i="1"/>
  <c r="F40" i="1"/>
  <c r="E40" i="1"/>
  <c r="F39" i="1"/>
  <c r="E39" i="1"/>
  <c r="F38" i="1"/>
  <c r="E38" i="1"/>
  <c r="F37" i="1"/>
  <c r="E37" i="1"/>
  <c r="F35" i="1"/>
  <c r="E35" i="1"/>
  <c r="F34" i="1"/>
  <c r="E34" i="1"/>
  <c r="F33" i="1"/>
  <c r="E33" i="1"/>
  <c r="F32" i="1"/>
  <c r="E32" i="1"/>
  <c r="F31" i="1"/>
  <c r="E31" i="1"/>
  <c r="F29" i="1"/>
  <c r="E29" i="1"/>
  <c r="F28" i="1"/>
  <c r="E28" i="1"/>
  <c r="F27" i="1"/>
  <c r="E27" i="1"/>
  <c r="F26" i="1"/>
  <c r="E26" i="1"/>
  <c r="F25" i="1"/>
  <c r="E25" i="1"/>
  <c r="F23" i="1"/>
  <c r="E23" i="1"/>
  <c r="F22" i="1"/>
  <c r="E22" i="1"/>
  <c r="F21" i="1"/>
  <c r="J6" i="1" a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F7" i="1"/>
  <c r="E8" i="1" s="1"/>
  <c r="F8" i="1" s="1"/>
  <c r="E9" i="1" s="1"/>
  <c r="F9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9" i="1" s="1"/>
  <c r="F19" i="1" s="1"/>
  <c r="E20" i="1" s="1"/>
  <c r="F20" i="1" s="1"/>
  <c r="E21" i="1" s="1"/>
  <c r="Q3" i="1"/>
  <c r="X3" i="1" s="1"/>
  <c r="AE3" i="1" s="1"/>
  <c r="AL3" i="1" s="1"/>
  <c r="AS3" i="1" s="1"/>
  <c r="AZ3" i="1" s="1"/>
  <c r="BG3" i="1" s="1"/>
  <c r="BN3" i="1" s="1"/>
  <c r="BU3" i="1" s="1"/>
  <c r="CB3" i="1" s="1"/>
  <c r="CI3" i="1" s="1"/>
  <c r="CP3" i="1" s="1"/>
  <c r="CW3" i="1" s="1"/>
  <c r="DD3" i="1" s="1"/>
  <c r="J5" i="1"/>
  <c r="Q5" i="1" s="1"/>
  <c r="J4" i="1" l="1"/>
  <c r="X5" i="1"/>
  <c r="AE5" i="1" s="1"/>
  <c r="AL5" i="1" s="1"/>
  <c r="AS5" i="1" s="1"/>
  <c r="AL4" i="1" l="1"/>
  <c r="AZ5" i="1"/>
  <c r="BG5" i="1" s="1"/>
  <c r="BN5" i="1" s="1"/>
  <c r="BU5" i="1" s="1"/>
  <c r="CB5" i="1" s="1"/>
  <c r="CI5" i="1" s="1"/>
  <c r="CP5" i="1" s="1"/>
  <c r="CW5" i="1" s="1"/>
  <c r="DD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<sst xmlns="http://schemas.openxmlformats.org/spreadsheetml/2006/main" count="98" uniqueCount="63">
  <si>
    <t xml:space="preserve">Project Name: </t>
  </si>
  <si>
    <t>AMI (Artifical Medical Intelligence)</t>
  </si>
  <si>
    <t>Weeks</t>
  </si>
  <si>
    <t>Team Members:</t>
  </si>
  <si>
    <t>Stefano Buglione, Lauryn Brown, Marie Schwarz, Nicolas Fernandez</t>
  </si>
  <si>
    <t>Start Date:</t>
  </si>
  <si>
    <t>Mar</t>
  </si>
  <si>
    <t>Apr</t>
  </si>
  <si>
    <t>Task #</t>
  </si>
  <si>
    <t>Activity Title</t>
  </si>
  <si>
    <t>Tasks</t>
  </si>
  <si>
    <t>Assigned To</t>
  </si>
  <si>
    <t>Start Date</t>
  </si>
  <si>
    <t>Due Date</t>
  </si>
  <si>
    <t>Status</t>
  </si>
  <si>
    <t>Completion %</t>
  </si>
  <si>
    <t>Team &amp; Project Creation</t>
  </si>
  <si>
    <t>Team Recruitment</t>
  </si>
  <si>
    <t>Complete</t>
  </si>
  <si>
    <t>Project Idea</t>
  </si>
  <si>
    <t>Project Prospectus</t>
  </si>
  <si>
    <t>Group Meetings</t>
  </si>
  <si>
    <t>Saturday</t>
  </si>
  <si>
    <t>8PM EST</t>
  </si>
  <si>
    <t>In Progress</t>
  </si>
  <si>
    <t>Requirements Phase</t>
  </si>
  <si>
    <t>Define system scope and contraints</t>
  </si>
  <si>
    <t>identify user roles and use cases</t>
  </si>
  <si>
    <t>Formalize functional requirements</t>
  </si>
  <si>
    <t>Formalize non-functional requirements(LLM, ethics, and privacy laws)</t>
  </si>
  <si>
    <t>Draft initial SRS (Software Requirements Specification)</t>
  </si>
  <si>
    <t>Not Started</t>
  </si>
  <si>
    <t>Define AI avatar requirements</t>
  </si>
  <si>
    <t>Analysis Phase</t>
  </si>
  <si>
    <t>Analyze existing AI medical systems</t>
  </si>
  <si>
    <t>Dataset and source evaluation</t>
  </si>
  <si>
    <t>Analyze bias and hallucination risks</t>
  </si>
  <si>
    <t>Feasability  for avatar tools analysis</t>
  </si>
  <si>
    <t>Finalize system requirements</t>
  </si>
  <si>
    <t>Design Phase</t>
  </si>
  <si>
    <t>System architecture design</t>
  </si>
  <si>
    <t>LLM training pipeline and deployment design</t>
  </si>
  <si>
    <t>UI/UX wireframes</t>
  </si>
  <si>
    <t>Design AMI avatar appearance and behavior</t>
  </si>
  <si>
    <t>Design source transparency and citation system</t>
  </si>
  <si>
    <t>Implementation Phase</t>
  </si>
  <si>
    <t>Set up chatbot framework</t>
  </si>
  <si>
    <t>Implement response generation</t>
  </si>
  <si>
    <t>Integrate APIs</t>
  </si>
  <si>
    <t>Implement text-to-speech</t>
  </si>
  <si>
    <t>Frontend implementation</t>
  </si>
  <si>
    <t>Test Phase</t>
  </si>
  <si>
    <t>Acquiring additional test data (using PRISMA)</t>
  </si>
  <si>
    <t>Drafting test cases</t>
  </si>
  <si>
    <t>Running test cases</t>
  </si>
  <si>
    <t>Evaluate chatbot performance (accuracy, latency)</t>
  </si>
  <si>
    <t>Conduct internal usability testing and team review</t>
  </si>
  <si>
    <t>Delivery</t>
  </si>
  <si>
    <t>Project Demonstration</t>
  </si>
  <si>
    <t>Final SRS</t>
  </si>
  <si>
    <t>Peer Review</t>
  </si>
  <si>
    <t>Statuses</t>
  </si>
  <si>
    <t>Running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</si>
</sst>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dd\-yy"/>
    <numFmt numFmtId="165" formatCode="mmm\-dd"/>
    <numFmt numFmtId="166" formatCode="mmm"/>
    <numFmt numFmtId="167" formatCode="ddd"/>
    <numFmt numFmtId="168" formatCode="mm/dd/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u/>
      <sz val="16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7" fontId="2" fillId="2" borderId="15" xfId="0" applyNumberFormat="1" applyFont="1" applyFill="1" applyBorder="1" applyAlignment="1">
      <alignment horizontal="left" vertical="center"/>
    </xf>
    <xf numFmtId="167" fontId="2" fillId="2" borderId="7" xfId="0" applyNumberFormat="1" applyFont="1" applyFill="1" applyBorder="1" applyAlignment="1">
      <alignment horizontal="left" vertical="center"/>
    </xf>
    <xf numFmtId="167" fontId="2" fillId="2" borderId="16" xfId="0" applyNumberFormat="1" applyFont="1" applyFill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8" fontId="8" fillId="4" borderId="7" xfId="0" applyNumberFormat="1" applyFont="1" applyFill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/>
    </xf>
    <xf numFmtId="14" fontId="8" fillId="4" borderId="7" xfId="0" applyNumberFormat="1" applyFont="1" applyFill="1" applyBorder="1" applyAlignment="1">
      <alignment horizontal="center" vertical="center"/>
    </xf>
    <xf numFmtId="14" fontId="10" fillId="4" borderId="7" xfId="0" applyNumberFormat="1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9" fontId="8" fillId="4" borderId="21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9" fontId="8" fillId="4" borderId="23" xfId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9" fontId="8" fillId="0" borderId="21" xfId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14" fontId="8" fillId="4" borderId="2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8" fillId="4" borderId="27" xfId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ill>
        <patternFill patternType="solid">
          <bgColor rgb="FFFFDD7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DD71"/>
        </patternFill>
      </fill>
    </dxf>
    <dxf>
      <fill>
        <patternFill>
          <bgColor rgb="FFFF9966"/>
        </patternFill>
      </fill>
    </dxf>
  </dxfs>
  <tableStyles count="0" defaultTableStyle="TableStyleMedium2" defaultPivotStyle="PivotStyleLight16"/>
  <colors>
    <mruColors>
      <color rgb="FFB5E6A2"/>
      <color rgb="FFFFFF99"/>
      <color rgb="FFFFFF00"/>
      <color rgb="FFFFDD71"/>
      <color rgb="FFFAA2A2"/>
      <color rgb="FFFFC675"/>
      <color rgb="FFFF8C8C"/>
      <color rgb="FFE74032"/>
      <color rgb="FFFFB0B0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B047-16EA-40C4-8587-CD808CFD40F8}">
  <dimension ref="A1:DQ53"/>
  <sheetViews>
    <sheetView tabSelected="1" topLeftCell="B3" zoomScaleNormal="100" workbookViewId="0">
      <selection activeCell="H16" sqref="H16"/>
    </sheetView>
  </sheetViews>
  <sheetFormatPr defaultRowHeight="15" x14ac:dyDescent="0.25"/>
  <cols>
    <col min="1" max="1" width="9.140625" style="1"/>
    <col min="2" max="2" width="23.85546875" style="1" customWidth="1"/>
    <col min="3" max="3" width="66.140625" style="1" customWidth="1"/>
    <col min="4" max="4" width="14.42578125" style="1" customWidth="1"/>
    <col min="5" max="5" width="19.42578125" style="1" customWidth="1"/>
    <col min="6" max="6" width="11.5703125" style="1" customWidth="1"/>
    <col min="7" max="7" width="14.5703125" style="1" customWidth="1"/>
    <col min="8" max="8" width="17" style="1" customWidth="1"/>
    <col min="9" max="9" width="9.140625" style="1"/>
    <col min="10" max="114" width="4.7109375" style="1" customWidth="1"/>
    <col min="115" max="16384" width="9.140625" style="1"/>
  </cols>
  <sheetData>
    <row r="1" spans="1:121" ht="15.75" thickBot="1" x14ac:dyDescent="0.3"/>
    <row r="2" spans="1:121" ht="21" x14ac:dyDescent="0.25">
      <c r="B2" s="15" t="s">
        <v>0</v>
      </c>
      <c r="C2" s="18" t="s">
        <v>1</v>
      </c>
      <c r="D2" s="19"/>
      <c r="E2" s="19"/>
      <c r="F2" s="19"/>
      <c r="G2" s="20"/>
      <c r="J2" s="55" t="s">
        <v>2</v>
      </c>
      <c r="K2" s="56"/>
      <c r="L2" s="56"/>
      <c r="M2" s="56"/>
      <c r="N2" s="56"/>
      <c r="O2" s="56"/>
      <c r="P2" s="56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8"/>
    </row>
    <row r="3" spans="1:121" ht="21" x14ac:dyDescent="0.25">
      <c r="B3" s="16" t="s">
        <v>3</v>
      </c>
      <c r="C3" s="21" t="s">
        <v>4</v>
      </c>
      <c r="D3" s="22"/>
      <c r="E3" s="22"/>
      <c r="F3" s="22"/>
      <c r="G3" s="23"/>
      <c r="J3" s="59">
        <v>1</v>
      </c>
      <c r="K3" s="59"/>
      <c r="L3" s="59"/>
      <c r="M3" s="59"/>
      <c r="N3" s="59"/>
      <c r="O3" s="59"/>
      <c r="P3" s="59"/>
      <c r="Q3" s="59">
        <f>J3+1</f>
        <v>2</v>
      </c>
      <c r="R3" s="59"/>
      <c r="S3" s="59"/>
      <c r="T3" s="59"/>
      <c r="U3" s="59"/>
      <c r="V3" s="59"/>
      <c r="W3" s="59"/>
      <c r="X3" s="59">
        <f>Q3+1</f>
        <v>3</v>
      </c>
      <c r="Y3" s="59"/>
      <c r="Z3" s="59"/>
      <c r="AA3" s="59"/>
      <c r="AB3" s="59"/>
      <c r="AC3" s="59"/>
      <c r="AD3" s="59"/>
      <c r="AE3" s="59">
        <f>X3+1</f>
        <v>4</v>
      </c>
      <c r="AF3" s="59"/>
      <c r="AG3" s="59"/>
      <c r="AH3" s="59"/>
      <c r="AI3" s="59"/>
      <c r="AJ3" s="59"/>
      <c r="AK3" s="59"/>
      <c r="AL3" s="59">
        <f>AE3+1</f>
        <v>5</v>
      </c>
      <c r="AM3" s="59"/>
      <c r="AN3" s="59"/>
      <c r="AO3" s="59"/>
      <c r="AP3" s="59"/>
      <c r="AQ3" s="59"/>
      <c r="AR3" s="59"/>
      <c r="AS3" s="59">
        <f>AL3+1</f>
        <v>6</v>
      </c>
      <c r="AT3" s="59"/>
      <c r="AU3" s="59"/>
      <c r="AV3" s="59"/>
      <c r="AW3" s="59"/>
      <c r="AX3" s="59"/>
      <c r="AY3" s="59"/>
      <c r="AZ3" s="59">
        <f>AS3+1</f>
        <v>7</v>
      </c>
      <c r="BA3" s="59"/>
      <c r="BB3" s="59"/>
      <c r="BC3" s="59"/>
      <c r="BD3" s="59"/>
      <c r="BE3" s="59"/>
      <c r="BF3" s="59"/>
      <c r="BG3" s="59">
        <f>AZ3+1</f>
        <v>8</v>
      </c>
      <c r="BH3" s="59"/>
      <c r="BI3" s="59"/>
      <c r="BJ3" s="59"/>
      <c r="BK3" s="59"/>
      <c r="BL3" s="59"/>
      <c r="BM3" s="59"/>
      <c r="BN3" s="59">
        <f>BG3+1</f>
        <v>9</v>
      </c>
      <c r="BO3" s="59"/>
      <c r="BP3" s="59"/>
      <c r="BQ3" s="59"/>
      <c r="BR3" s="59"/>
      <c r="BS3" s="59"/>
      <c r="BT3" s="59"/>
      <c r="BU3" s="59">
        <f>BN3+1</f>
        <v>10</v>
      </c>
      <c r="BV3" s="59"/>
      <c r="BW3" s="59"/>
      <c r="BX3" s="59"/>
      <c r="BY3" s="59"/>
      <c r="BZ3" s="59"/>
      <c r="CA3" s="59"/>
      <c r="CB3" s="59">
        <f>BU3+1</f>
        <v>11</v>
      </c>
      <c r="CC3" s="59"/>
      <c r="CD3" s="59"/>
      <c r="CE3" s="59"/>
      <c r="CF3" s="59"/>
      <c r="CG3" s="59"/>
      <c r="CH3" s="59"/>
      <c r="CI3" s="59">
        <f>CB3+1</f>
        <v>12</v>
      </c>
      <c r="CJ3" s="59"/>
      <c r="CK3" s="59"/>
      <c r="CL3" s="59"/>
      <c r="CM3" s="59"/>
      <c r="CN3" s="59"/>
      <c r="CO3" s="59"/>
      <c r="CP3" s="59">
        <f>CI3+1</f>
        <v>13</v>
      </c>
      <c r="CQ3" s="59"/>
      <c r="CR3" s="59"/>
      <c r="CS3" s="59"/>
      <c r="CT3" s="59"/>
      <c r="CU3" s="59"/>
      <c r="CV3" s="59"/>
      <c r="CW3" s="59">
        <f>CP3+1</f>
        <v>14</v>
      </c>
      <c r="CX3" s="59"/>
      <c r="CY3" s="59"/>
      <c r="CZ3" s="59"/>
      <c r="DA3" s="59"/>
      <c r="DB3" s="59"/>
      <c r="DC3" s="59"/>
      <c r="DD3" s="59">
        <f>CW3+1</f>
        <v>15</v>
      </c>
      <c r="DE3" s="59"/>
      <c r="DF3" s="59"/>
      <c r="DG3" s="59"/>
      <c r="DH3" s="59"/>
      <c r="DI3" s="59"/>
      <c r="DJ3" s="59"/>
    </row>
    <row r="4" spans="1:121" ht="21.75" thickBot="1" x14ac:dyDescent="0.3">
      <c r="B4" s="17" t="s">
        <v>5</v>
      </c>
      <c r="C4" s="24">
        <v>46027</v>
      </c>
      <c r="D4" s="25"/>
      <c r="E4" s="25"/>
      <c r="F4" s="25"/>
      <c r="G4" s="26"/>
      <c r="J4" s="60">
        <f>Q5</f>
        <v>46034</v>
      </c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>
        <f>AS5</f>
        <v>46062</v>
      </c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 t="s">
        <v>6</v>
      </c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59" t="s">
        <v>7</v>
      </c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</row>
    <row r="5" spans="1:121" ht="15.75" x14ac:dyDescent="0.25">
      <c r="J5" s="53">
        <f>IF(MONTH(C4-WEEKDAY((C4),2)+1)&lt;MONTH(C4),(C4-28-DAY(C4)+7)-WEEKDAY((C4-DAY(C4)+7),2)+1,(C4-DAY(C4)+7)-WEEKDAY((C4-DAY(C4)+7),2)+1)</f>
        <v>46027</v>
      </c>
      <c r="K5" s="53"/>
      <c r="L5" s="53"/>
      <c r="M5" s="53"/>
      <c r="N5" s="53"/>
      <c r="O5" s="53"/>
      <c r="P5" s="53"/>
      <c r="Q5" s="53">
        <f>J5+7</f>
        <v>46034</v>
      </c>
      <c r="R5" s="53"/>
      <c r="S5" s="53"/>
      <c r="T5" s="53"/>
      <c r="U5" s="53"/>
      <c r="V5" s="53"/>
      <c r="W5" s="53"/>
      <c r="X5" s="53">
        <f>Q5+7</f>
        <v>46041</v>
      </c>
      <c r="Y5" s="53"/>
      <c r="Z5" s="53"/>
      <c r="AA5" s="53"/>
      <c r="AB5" s="53"/>
      <c r="AC5" s="53"/>
      <c r="AD5" s="53"/>
      <c r="AE5" s="53">
        <f>X5+7</f>
        <v>46048</v>
      </c>
      <c r="AF5" s="54"/>
      <c r="AG5" s="54"/>
      <c r="AH5" s="54"/>
      <c r="AI5" s="54"/>
      <c r="AJ5" s="54"/>
      <c r="AK5" s="54"/>
      <c r="AL5" s="53">
        <f>AE5+7</f>
        <v>46055</v>
      </c>
      <c r="AM5" s="54"/>
      <c r="AN5" s="54"/>
      <c r="AO5" s="54"/>
      <c r="AP5" s="54"/>
      <c r="AQ5" s="54"/>
      <c r="AR5" s="54"/>
      <c r="AS5" s="53">
        <f>AL5+7</f>
        <v>46062</v>
      </c>
      <c r="AT5" s="54"/>
      <c r="AU5" s="54"/>
      <c r="AV5" s="54"/>
      <c r="AW5" s="54"/>
      <c r="AX5" s="54"/>
      <c r="AY5" s="54"/>
      <c r="AZ5" s="53">
        <f>AS5+7</f>
        <v>46069</v>
      </c>
      <c r="BA5" s="54"/>
      <c r="BB5" s="54"/>
      <c r="BC5" s="54"/>
      <c r="BD5" s="54"/>
      <c r="BE5" s="54"/>
      <c r="BF5" s="54"/>
      <c r="BG5" s="53">
        <f>AZ5+7</f>
        <v>46076</v>
      </c>
      <c r="BH5" s="54"/>
      <c r="BI5" s="54"/>
      <c r="BJ5" s="54"/>
      <c r="BK5" s="54"/>
      <c r="BL5" s="54"/>
      <c r="BM5" s="54"/>
      <c r="BN5" s="53">
        <f>BG5+7</f>
        <v>46083</v>
      </c>
      <c r="BO5" s="54"/>
      <c r="BP5" s="54"/>
      <c r="BQ5" s="54"/>
      <c r="BR5" s="54"/>
      <c r="BS5" s="54"/>
      <c r="BT5" s="54"/>
      <c r="BU5" s="53">
        <f>BN5+7</f>
        <v>46090</v>
      </c>
      <c r="BV5" s="54"/>
      <c r="BW5" s="54"/>
      <c r="BX5" s="54"/>
      <c r="BY5" s="54"/>
      <c r="BZ5" s="54"/>
      <c r="CA5" s="54"/>
      <c r="CB5" s="53">
        <f>BU5+7</f>
        <v>46097</v>
      </c>
      <c r="CC5" s="54"/>
      <c r="CD5" s="54"/>
      <c r="CE5" s="54"/>
      <c r="CF5" s="54"/>
      <c r="CG5" s="54"/>
      <c r="CH5" s="54"/>
      <c r="CI5" s="53">
        <f>CB5+7</f>
        <v>46104</v>
      </c>
      <c r="CJ5" s="54"/>
      <c r="CK5" s="54"/>
      <c r="CL5" s="54"/>
      <c r="CM5" s="54"/>
      <c r="CN5" s="54"/>
      <c r="CO5" s="54"/>
      <c r="CP5" s="53">
        <f>CI5+7</f>
        <v>46111</v>
      </c>
      <c r="CQ5" s="54"/>
      <c r="CR5" s="54"/>
      <c r="CS5" s="54"/>
      <c r="CT5" s="54"/>
      <c r="CU5" s="54"/>
      <c r="CV5" s="54"/>
      <c r="CW5" s="53">
        <f>CP5+7</f>
        <v>46118</v>
      </c>
      <c r="CX5" s="54"/>
      <c r="CY5" s="54"/>
      <c r="CZ5" s="54"/>
      <c r="DA5" s="54"/>
      <c r="DB5" s="54"/>
      <c r="DC5" s="54"/>
      <c r="DD5" s="53">
        <f>CW5+7</f>
        <v>46125</v>
      </c>
      <c r="DE5" s="54"/>
      <c r="DF5" s="54"/>
      <c r="DG5" s="54"/>
      <c r="DH5" s="54"/>
      <c r="DI5" s="54"/>
      <c r="DJ5" s="54"/>
      <c r="DK5" s="2"/>
      <c r="DL5" s="2"/>
      <c r="DM5" s="2"/>
      <c r="DN5" s="2"/>
      <c r="DO5" s="2"/>
      <c r="DP5" s="2"/>
      <c r="DQ5" s="2"/>
    </row>
    <row r="6" spans="1:121" ht="18.75" x14ac:dyDescent="0.25">
      <c r="A6" s="37" t="s">
        <v>8</v>
      </c>
      <c r="B6" s="38" t="s">
        <v>9</v>
      </c>
      <c r="C6" s="38" t="s">
        <v>10</v>
      </c>
      <c r="D6" s="38" t="s">
        <v>11</v>
      </c>
      <c r="E6" s="38" t="s">
        <v>12</v>
      </c>
      <c r="F6" s="38" t="s">
        <v>13</v>
      </c>
      <c r="G6" s="38" t="s">
        <v>14</v>
      </c>
      <c r="H6" s="39" t="s">
        <v>15</v>
      </c>
      <c r="J6" s="3" cm="1">
        <f t="array" ref="J6">WORKDAY.INTL(C4-1,_xlfn.SEQUENCE(1,1,1,1),1)</f>
        <v>46027</v>
      </c>
      <c r="K6" s="4">
        <f>J6+1</f>
        <v>46028</v>
      </c>
      <c r="L6" s="4">
        <f t="shared" ref="L6:BW6" si="0">K6+1</f>
        <v>46029</v>
      </c>
      <c r="M6" s="4">
        <f t="shared" si="0"/>
        <v>46030</v>
      </c>
      <c r="N6" s="4">
        <f t="shared" si="0"/>
        <v>46031</v>
      </c>
      <c r="O6" s="4">
        <f t="shared" si="0"/>
        <v>46032</v>
      </c>
      <c r="P6" s="5">
        <f t="shared" si="0"/>
        <v>46033</v>
      </c>
      <c r="Q6" s="3">
        <f t="shared" si="0"/>
        <v>46034</v>
      </c>
      <c r="R6" s="4">
        <f t="shared" si="0"/>
        <v>46035</v>
      </c>
      <c r="S6" s="4">
        <f t="shared" si="0"/>
        <v>46036</v>
      </c>
      <c r="T6" s="4">
        <f t="shared" si="0"/>
        <v>46037</v>
      </c>
      <c r="U6" s="4">
        <f t="shared" si="0"/>
        <v>46038</v>
      </c>
      <c r="V6" s="4">
        <f t="shared" si="0"/>
        <v>46039</v>
      </c>
      <c r="W6" s="5">
        <f t="shared" si="0"/>
        <v>46040</v>
      </c>
      <c r="X6" s="3">
        <f t="shared" si="0"/>
        <v>46041</v>
      </c>
      <c r="Y6" s="4">
        <f t="shared" si="0"/>
        <v>46042</v>
      </c>
      <c r="Z6" s="4">
        <f t="shared" si="0"/>
        <v>46043</v>
      </c>
      <c r="AA6" s="4">
        <f t="shared" si="0"/>
        <v>46044</v>
      </c>
      <c r="AB6" s="4">
        <f t="shared" si="0"/>
        <v>46045</v>
      </c>
      <c r="AC6" s="4">
        <f t="shared" si="0"/>
        <v>46046</v>
      </c>
      <c r="AD6" s="5">
        <f t="shared" si="0"/>
        <v>46047</v>
      </c>
      <c r="AE6" s="3">
        <f t="shared" si="0"/>
        <v>46048</v>
      </c>
      <c r="AF6" s="4">
        <f t="shared" si="0"/>
        <v>46049</v>
      </c>
      <c r="AG6" s="4">
        <f t="shared" si="0"/>
        <v>46050</v>
      </c>
      <c r="AH6" s="4">
        <f t="shared" si="0"/>
        <v>46051</v>
      </c>
      <c r="AI6" s="4">
        <f t="shared" si="0"/>
        <v>46052</v>
      </c>
      <c r="AJ6" s="4">
        <f t="shared" si="0"/>
        <v>46053</v>
      </c>
      <c r="AK6" s="5">
        <f t="shared" si="0"/>
        <v>46054</v>
      </c>
      <c r="AL6" s="3">
        <f t="shared" si="0"/>
        <v>46055</v>
      </c>
      <c r="AM6" s="4">
        <f t="shared" si="0"/>
        <v>46056</v>
      </c>
      <c r="AN6" s="4">
        <f t="shared" si="0"/>
        <v>46057</v>
      </c>
      <c r="AO6" s="4">
        <f t="shared" si="0"/>
        <v>46058</v>
      </c>
      <c r="AP6" s="4">
        <f t="shared" si="0"/>
        <v>46059</v>
      </c>
      <c r="AQ6" s="4">
        <f t="shared" si="0"/>
        <v>46060</v>
      </c>
      <c r="AR6" s="5">
        <f t="shared" si="0"/>
        <v>46061</v>
      </c>
      <c r="AS6" s="3">
        <f t="shared" si="0"/>
        <v>46062</v>
      </c>
      <c r="AT6" s="4">
        <f t="shared" si="0"/>
        <v>46063</v>
      </c>
      <c r="AU6" s="4">
        <f t="shared" si="0"/>
        <v>46064</v>
      </c>
      <c r="AV6" s="4">
        <f t="shared" si="0"/>
        <v>46065</v>
      </c>
      <c r="AW6" s="4">
        <f t="shared" si="0"/>
        <v>46066</v>
      </c>
      <c r="AX6" s="4">
        <f t="shared" si="0"/>
        <v>46067</v>
      </c>
      <c r="AY6" s="5">
        <f t="shared" si="0"/>
        <v>46068</v>
      </c>
      <c r="AZ6" s="3">
        <f t="shared" si="0"/>
        <v>46069</v>
      </c>
      <c r="BA6" s="4">
        <f t="shared" si="0"/>
        <v>46070</v>
      </c>
      <c r="BB6" s="4">
        <f t="shared" si="0"/>
        <v>46071</v>
      </c>
      <c r="BC6" s="4">
        <f t="shared" si="0"/>
        <v>46072</v>
      </c>
      <c r="BD6" s="4">
        <f t="shared" si="0"/>
        <v>46073</v>
      </c>
      <c r="BE6" s="4">
        <f t="shared" si="0"/>
        <v>46074</v>
      </c>
      <c r="BF6" s="5">
        <f t="shared" si="0"/>
        <v>46075</v>
      </c>
      <c r="BG6" s="3">
        <f t="shared" si="0"/>
        <v>46076</v>
      </c>
      <c r="BH6" s="4">
        <f t="shared" si="0"/>
        <v>46077</v>
      </c>
      <c r="BI6" s="4">
        <f t="shared" si="0"/>
        <v>46078</v>
      </c>
      <c r="BJ6" s="4">
        <f t="shared" si="0"/>
        <v>46079</v>
      </c>
      <c r="BK6" s="4">
        <f t="shared" si="0"/>
        <v>46080</v>
      </c>
      <c r="BL6" s="4">
        <f t="shared" si="0"/>
        <v>46081</v>
      </c>
      <c r="BM6" s="5">
        <f t="shared" si="0"/>
        <v>46082</v>
      </c>
      <c r="BN6" s="3">
        <f t="shared" si="0"/>
        <v>46083</v>
      </c>
      <c r="BO6" s="4">
        <f t="shared" si="0"/>
        <v>46084</v>
      </c>
      <c r="BP6" s="4">
        <f t="shared" si="0"/>
        <v>46085</v>
      </c>
      <c r="BQ6" s="4">
        <f t="shared" si="0"/>
        <v>46086</v>
      </c>
      <c r="BR6" s="4">
        <f t="shared" si="0"/>
        <v>46087</v>
      </c>
      <c r="BS6" s="4">
        <f t="shared" si="0"/>
        <v>46088</v>
      </c>
      <c r="BT6" s="5">
        <f t="shared" si="0"/>
        <v>46089</v>
      </c>
      <c r="BU6" s="3">
        <f t="shared" si="0"/>
        <v>46090</v>
      </c>
      <c r="BV6" s="4">
        <f t="shared" si="0"/>
        <v>46091</v>
      </c>
      <c r="BW6" s="4">
        <f t="shared" si="0"/>
        <v>46092</v>
      </c>
      <c r="BX6" s="4">
        <f t="shared" ref="BX6:DJ6" si="1">BW6+1</f>
        <v>46093</v>
      </c>
      <c r="BY6" s="4">
        <f t="shared" si="1"/>
        <v>46094</v>
      </c>
      <c r="BZ6" s="4">
        <f t="shared" si="1"/>
        <v>46095</v>
      </c>
      <c r="CA6" s="5">
        <f t="shared" si="1"/>
        <v>46096</v>
      </c>
      <c r="CB6" s="3">
        <f t="shared" si="1"/>
        <v>46097</v>
      </c>
      <c r="CC6" s="4">
        <f t="shared" si="1"/>
        <v>46098</v>
      </c>
      <c r="CD6" s="4">
        <f t="shared" si="1"/>
        <v>46099</v>
      </c>
      <c r="CE6" s="4">
        <f t="shared" si="1"/>
        <v>46100</v>
      </c>
      <c r="CF6" s="4">
        <f t="shared" si="1"/>
        <v>46101</v>
      </c>
      <c r="CG6" s="4">
        <f t="shared" si="1"/>
        <v>46102</v>
      </c>
      <c r="CH6" s="5">
        <f t="shared" si="1"/>
        <v>46103</v>
      </c>
      <c r="CI6" s="3">
        <f t="shared" si="1"/>
        <v>46104</v>
      </c>
      <c r="CJ6" s="4">
        <f t="shared" si="1"/>
        <v>46105</v>
      </c>
      <c r="CK6" s="4">
        <f t="shared" si="1"/>
        <v>46106</v>
      </c>
      <c r="CL6" s="4">
        <f t="shared" si="1"/>
        <v>46107</v>
      </c>
      <c r="CM6" s="4">
        <f t="shared" si="1"/>
        <v>46108</v>
      </c>
      <c r="CN6" s="4">
        <f t="shared" si="1"/>
        <v>46109</v>
      </c>
      <c r="CO6" s="5">
        <f t="shared" si="1"/>
        <v>46110</v>
      </c>
      <c r="CP6" s="3">
        <f t="shared" si="1"/>
        <v>46111</v>
      </c>
      <c r="CQ6" s="4">
        <f t="shared" si="1"/>
        <v>46112</v>
      </c>
      <c r="CR6" s="4">
        <f t="shared" si="1"/>
        <v>46113</v>
      </c>
      <c r="CS6" s="4">
        <f t="shared" si="1"/>
        <v>46114</v>
      </c>
      <c r="CT6" s="4">
        <f t="shared" si="1"/>
        <v>46115</v>
      </c>
      <c r="CU6" s="4">
        <f t="shared" si="1"/>
        <v>46116</v>
      </c>
      <c r="CV6" s="5">
        <f t="shared" si="1"/>
        <v>46117</v>
      </c>
      <c r="CW6" s="3">
        <f t="shared" si="1"/>
        <v>46118</v>
      </c>
      <c r="CX6" s="4">
        <f t="shared" si="1"/>
        <v>46119</v>
      </c>
      <c r="CY6" s="4">
        <f t="shared" si="1"/>
        <v>46120</v>
      </c>
      <c r="CZ6" s="4">
        <f t="shared" si="1"/>
        <v>46121</v>
      </c>
      <c r="DA6" s="4">
        <f t="shared" si="1"/>
        <v>46122</v>
      </c>
      <c r="DB6" s="4">
        <f t="shared" si="1"/>
        <v>46123</v>
      </c>
      <c r="DC6" s="5">
        <f t="shared" si="1"/>
        <v>46124</v>
      </c>
      <c r="DD6" s="3">
        <f t="shared" si="1"/>
        <v>46125</v>
      </c>
      <c r="DE6" s="4">
        <f t="shared" si="1"/>
        <v>46126</v>
      </c>
      <c r="DF6" s="4">
        <f t="shared" si="1"/>
        <v>46127</v>
      </c>
      <c r="DG6" s="4">
        <f t="shared" si="1"/>
        <v>46128</v>
      </c>
      <c r="DH6" s="4">
        <f t="shared" si="1"/>
        <v>46129</v>
      </c>
      <c r="DI6" s="4">
        <f t="shared" si="1"/>
        <v>46130</v>
      </c>
      <c r="DJ6" s="5">
        <f t="shared" si="1"/>
        <v>46131</v>
      </c>
    </row>
    <row r="7" spans="1:121" ht="15.75" x14ac:dyDescent="0.25">
      <c r="A7" s="40">
        <v>1</v>
      </c>
      <c r="B7" s="27" t="s">
        <v>16</v>
      </c>
      <c r="C7" s="28" t="s">
        <v>17</v>
      </c>
      <c r="D7" s="6"/>
      <c r="E7" s="30">
        <v>46027</v>
      </c>
      <c r="F7" s="30">
        <f>E7+2</f>
        <v>46029</v>
      </c>
      <c r="G7" s="7" t="s">
        <v>18</v>
      </c>
      <c r="H7" s="41">
        <v>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</row>
    <row r="8" spans="1:121" ht="15.75" x14ac:dyDescent="0.25">
      <c r="A8" s="42"/>
      <c r="B8" s="9"/>
      <c r="C8" s="28" t="s">
        <v>19</v>
      </c>
      <c r="D8" s="6"/>
      <c r="E8" s="30">
        <f>F7-2</f>
        <v>46027</v>
      </c>
      <c r="F8" s="30">
        <f>E8+7</f>
        <v>46034</v>
      </c>
      <c r="G8" s="7" t="s">
        <v>18</v>
      </c>
      <c r="H8" s="41">
        <v>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</row>
    <row r="9" spans="1:121" ht="15.75" x14ac:dyDescent="0.25">
      <c r="A9" s="42"/>
      <c r="B9" s="9"/>
      <c r="C9" s="28" t="s">
        <v>20</v>
      </c>
      <c r="D9" s="6"/>
      <c r="E9" s="30">
        <f>F8</f>
        <v>46034</v>
      </c>
      <c r="F9" s="30">
        <f>E9+11</f>
        <v>46045</v>
      </c>
      <c r="G9" s="7" t="s">
        <v>18</v>
      </c>
      <c r="H9" s="41">
        <v>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</row>
    <row r="10" spans="1:121" ht="15.75" x14ac:dyDescent="0.25">
      <c r="A10" s="42"/>
      <c r="B10" s="9"/>
      <c r="C10" s="28" t="s">
        <v>21</v>
      </c>
      <c r="D10" s="6"/>
      <c r="E10" s="30" t="s">
        <v>22</v>
      </c>
      <c r="F10" s="30" t="s">
        <v>23</v>
      </c>
      <c r="G10" s="7" t="s">
        <v>24</v>
      </c>
      <c r="H10" s="41">
        <v>0.25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</row>
    <row r="11" spans="1:121" ht="15.75" x14ac:dyDescent="0.25">
      <c r="A11" s="42"/>
      <c r="B11" s="9"/>
      <c r="C11" s="9"/>
      <c r="D11" s="10"/>
      <c r="E11" s="10"/>
      <c r="F11" s="10"/>
      <c r="G11" s="10"/>
      <c r="H11" s="4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</row>
    <row r="12" spans="1:121" ht="15.75" x14ac:dyDescent="0.25">
      <c r="A12" s="40">
        <v>2</v>
      </c>
      <c r="B12" s="27" t="s">
        <v>25</v>
      </c>
      <c r="C12" s="28" t="s">
        <v>26</v>
      </c>
      <c r="D12" s="11"/>
      <c r="E12" s="31">
        <f>F9-11</f>
        <v>46034</v>
      </c>
      <c r="F12" s="31">
        <f>E12+18</f>
        <v>46052</v>
      </c>
      <c r="G12" s="10" t="s">
        <v>18</v>
      </c>
      <c r="H12" s="44">
        <v>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</row>
    <row r="13" spans="1:121" ht="15.75" x14ac:dyDescent="0.25">
      <c r="A13" s="42"/>
      <c r="B13" s="9"/>
      <c r="C13" s="28" t="s">
        <v>27</v>
      </c>
      <c r="D13" s="11"/>
      <c r="E13" s="31">
        <f>F12+2</f>
        <v>46054</v>
      </c>
      <c r="F13" s="31">
        <f>E13+7</f>
        <v>46061</v>
      </c>
      <c r="G13" s="10" t="s">
        <v>24</v>
      </c>
      <c r="H13" s="44"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</row>
    <row r="14" spans="1:121" ht="15.75" x14ac:dyDescent="0.25">
      <c r="A14" s="42"/>
      <c r="B14" s="9"/>
      <c r="C14" s="28" t="s">
        <v>28</v>
      </c>
      <c r="D14" s="11"/>
      <c r="E14" s="31">
        <f>F13-9</f>
        <v>46052</v>
      </c>
      <c r="F14" s="31">
        <f>E14+6</f>
        <v>46058</v>
      </c>
      <c r="G14" s="10" t="s">
        <v>24</v>
      </c>
      <c r="H14" s="44"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</row>
    <row r="15" spans="1:121" ht="15.75" x14ac:dyDescent="0.25">
      <c r="A15" s="42"/>
      <c r="B15" s="9"/>
      <c r="C15" s="28" t="s">
        <v>29</v>
      </c>
      <c r="D15" s="11"/>
      <c r="E15" s="31">
        <f>F14-1</f>
        <v>46057</v>
      </c>
      <c r="F15" s="31">
        <f>E15+5</f>
        <v>46062</v>
      </c>
      <c r="G15" s="10" t="s">
        <v>24</v>
      </c>
      <c r="H15" s="44">
        <v>0.95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</row>
    <row r="16" spans="1:121" ht="15.75" x14ac:dyDescent="0.25">
      <c r="A16" s="42"/>
      <c r="B16" s="9"/>
      <c r="C16" s="28" t="s">
        <v>30</v>
      </c>
      <c r="D16" s="11"/>
      <c r="E16" s="31">
        <f>F15-3</f>
        <v>46059</v>
      </c>
      <c r="F16" s="31">
        <f>E16+8</f>
        <v>46067</v>
      </c>
      <c r="G16" s="10" t="s">
        <v>24</v>
      </c>
      <c r="H16" s="41"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</row>
    <row r="17" spans="1:114" ht="15.75" x14ac:dyDescent="0.25">
      <c r="A17" s="42"/>
      <c r="B17" s="9"/>
      <c r="C17" s="45" t="s">
        <v>32</v>
      </c>
      <c r="D17" s="7"/>
      <c r="E17" s="32">
        <f>F16-8</f>
        <v>46059</v>
      </c>
      <c r="F17" s="33">
        <f>E17+8</f>
        <v>46067</v>
      </c>
      <c r="G17" s="13" t="s">
        <v>24</v>
      </c>
      <c r="H17" s="41">
        <v>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</row>
    <row r="18" spans="1:114" ht="15.75" x14ac:dyDescent="0.25">
      <c r="A18" s="42"/>
      <c r="B18" s="9"/>
      <c r="C18" s="9"/>
      <c r="D18" s="10"/>
      <c r="E18" s="12"/>
      <c r="F18" s="14"/>
      <c r="G18" s="13"/>
      <c r="H18" s="4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</row>
    <row r="19" spans="1:114" ht="15.75" x14ac:dyDescent="0.25">
      <c r="A19" s="40">
        <v>3</v>
      </c>
      <c r="B19" s="27" t="s">
        <v>33</v>
      </c>
      <c r="C19" s="28" t="s">
        <v>34</v>
      </c>
      <c r="D19" s="10"/>
      <c r="E19" s="31">
        <f>F17+1</f>
        <v>46068</v>
      </c>
      <c r="F19" s="31">
        <f>E19+5</f>
        <v>46073</v>
      </c>
      <c r="G19" s="13" t="s">
        <v>31</v>
      </c>
      <c r="H19" s="41"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</row>
    <row r="20" spans="1:114" ht="15.75" x14ac:dyDescent="0.25">
      <c r="A20" s="42"/>
      <c r="B20" s="9"/>
      <c r="C20" s="28" t="s">
        <v>35</v>
      </c>
      <c r="D20" s="10"/>
      <c r="E20" s="34">
        <f>F19-5</f>
        <v>46068</v>
      </c>
      <c r="F20" s="31">
        <f>E20+10</f>
        <v>46078</v>
      </c>
      <c r="G20" s="13" t="s">
        <v>31</v>
      </c>
      <c r="H20" s="41">
        <v>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</row>
    <row r="21" spans="1:114" ht="15.75" x14ac:dyDescent="0.25">
      <c r="A21" s="42"/>
      <c r="B21" s="9"/>
      <c r="C21" s="28" t="s">
        <v>36</v>
      </c>
      <c r="D21" s="10"/>
      <c r="E21" s="31">
        <f>F20-7</f>
        <v>46071</v>
      </c>
      <c r="F21" s="31">
        <f>E21+10</f>
        <v>46081</v>
      </c>
      <c r="G21" s="13" t="s">
        <v>31</v>
      </c>
      <c r="H21" s="41"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</row>
    <row r="22" spans="1:114" ht="15.75" x14ac:dyDescent="0.25">
      <c r="A22" s="42"/>
      <c r="B22" s="9"/>
      <c r="C22" s="29" t="s">
        <v>37</v>
      </c>
      <c r="D22" s="10"/>
      <c r="E22" s="31">
        <f>F21-8</f>
        <v>46073</v>
      </c>
      <c r="F22" s="31">
        <f>E22+9</f>
        <v>46082</v>
      </c>
      <c r="G22" s="13" t="s">
        <v>31</v>
      </c>
      <c r="H22" s="41">
        <v>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</row>
    <row r="23" spans="1:114" ht="15.75" x14ac:dyDescent="0.25">
      <c r="A23" s="42"/>
      <c r="B23" s="9"/>
      <c r="C23" s="28" t="s">
        <v>38</v>
      </c>
      <c r="D23" s="10"/>
      <c r="E23" s="31">
        <f>F22-9</f>
        <v>46073</v>
      </c>
      <c r="F23" s="31">
        <f>E23+13</f>
        <v>46086</v>
      </c>
      <c r="G23" s="13" t="s">
        <v>31</v>
      </c>
      <c r="H23" s="41"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</row>
    <row r="24" spans="1:114" ht="15.75" x14ac:dyDescent="0.25">
      <c r="A24" s="42"/>
      <c r="B24" s="9"/>
      <c r="C24" s="9"/>
      <c r="D24" s="10"/>
      <c r="E24" s="7"/>
      <c r="F24" s="7"/>
      <c r="G24" s="13"/>
      <c r="H24" s="4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</row>
    <row r="25" spans="1:114" ht="15.75" x14ac:dyDescent="0.25">
      <c r="A25" s="40">
        <v>4</v>
      </c>
      <c r="B25" s="27" t="s">
        <v>39</v>
      </c>
      <c r="C25" s="28" t="s">
        <v>40</v>
      </c>
      <c r="D25" s="7"/>
      <c r="E25" s="31">
        <f>F23+1</f>
        <v>46087</v>
      </c>
      <c r="F25" s="31">
        <f>E25+6</f>
        <v>46093</v>
      </c>
      <c r="G25" s="13" t="s">
        <v>31</v>
      </c>
      <c r="H25" s="41">
        <v>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</row>
    <row r="26" spans="1:114" ht="15.75" x14ac:dyDescent="0.25">
      <c r="A26" s="42"/>
      <c r="B26" s="9"/>
      <c r="C26" s="28" t="s">
        <v>41</v>
      </c>
      <c r="D26" s="10"/>
      <c r="E26" s="31">
        <f>F25-6</f>
        <v>46087</v>
      </c>
      <c r="F26" s="31">
        <f>E26+12</f>
        <v>46099</v>
      </c>
      <c r="G26" s="13" t="s">
        <v>31</v>
      </c>
      <c r="H26" s="41">
        <v>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</row>
    <row r="27" spans="1:114" ht="15.75" x14ac:dyDescent="0.25">
      <c r="A27" s="42"/>
      <c r="B27" s="9"/>
      <c r="C27" s="28" t="s">
        <v>42</v>
      </c>
      <c r="D27" s="10"/>
      <c r="E27" s="31">
        <f>F26-8</f>
        <v>46091</v>
      </c>
      <c r="F27" s="31">
        <f>E27+10</f>
        <v>46101</v>
      </c>
      <c r="G27" s="13" t="s">
        <v>31</v>
      </c>
      <c r="H27" s="41">
        <v>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</row>
    <row r="28" spans="1:114" ht="15.75" x14ac:dyDescent="0.25">
      <c r="A28" s="42"/>
      <c r="B28" s="9"/>
      <c r="C28" s="28" t="s">
        <v>43</v>
      </c>
      <c r="D28" s="10"/>
      <c r="E28" s="31">
        <f>F27-14</f>
        <v>46087</v>
      </c>
      <c r="F28" s="31">
        <f>E28+16</f>
        <v>46103</v>
      </c>
      <c r="G28" s="13" t="s">
        <v>31</v>
      </c>
      <c r="H28" s="41">
        <v>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</row>
    <row r="29" spans="1:114" ht="15.75" x14ac:dyDescent="0.25">
      <c r="A29" s="42"/>
      <c r="B29" s="9"/>
      <c r="C29" s="28" t="s">
        <v>44</v>
      </c>
      <c r="D29" s="10"/>
      <c r="E29" s="31">
        <f>F28-7</f>
        <v>46096</v>
      </c>
      <c r="F29" s="31">
        <f>E29+10</f>
        <v>46106</v>
      </c>
      <c r="G29" s="13" t="s">
        <v>31</v>
      </c>
      <c r="H29" s="41"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</row>
    <row r="30" spans="1:114" ht="15.75" x14ac:dyDescent="0.25">
      <c r="A30" s="42"/>
      <c r="B30" s="9"/>
      <c r="C30" s="9"/>
      <c r="D30" s="10"/>
      <c r="E30" s="7"/>
      <c r="F30" s="7"/>
      <c r="G30" s="13"/>
      <c r="H30" s="46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</row>
    <row r="31" spans="1:114" ht="15.75" x14ac:dyDescent="0.25">
      <c r="A31" s="40">
        <v>5</v>
      </c>
      <c r="B31" s="27" t="s">
        <v>45</v>
      </c>
      <c r="C31" s="28" t="s">
        <v>46</v>
      </c>
      <c r="D31" s="7"/>
      <c r="E31" s="31">
        <f>F29-4</f>
        <v>46102</v>
      </c>
      <c r="F31" s="31">
        <f>E31+7</f>
        <v>46109</v>
      </c>
      <c r="G31" s="13" t="s">
        <v>31</v>
      </c>
      <c r="H31" s="41"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</row>
    <row r="32" spans="1:114" ht="15.75" x14ac:dyDescent="0.25">
      <c r="A32" s="42"/>
      <c r="B32" s="9"/>
      <c r="C32" s="28" t="s">
        <v>47</v>
      </c>
      <c r="D32" s="10"/>
      <c r="E32" s="31">
        <f>F31-3</f>
        <v>46106</v>
      </c>
      <c r="F32" s="31">
        <f>E32+8</f>
        <v>46114</v>
      </c>
      <c r="G32" s="13" t="s">
        <v>31</v>
      </c>
      <c r="H32" s="41"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</row>
    <row r="33" spans="1:114" ht="15.75" x14ac:dyDescent="0.25">
      <c r="A33" s="42"/>
      <c r="B33" s="9"/>
      <c r="C33" s="28" t="s">
        <v>48</v>
      </c>
      <c r="D33" s="10"/>
      <c r="E33" s="31">
        <f>F32-5</f>
        <v>46109</v>
      </c>
      <c r="F33" s="31">
        <f>E33+8</f>
        <v>46117</v>
      </c>
      <c r="G33" s="13" t="s">
        <v>31</v>
      </c>
      <c r="H33" s="41"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</row>
    <row r="34" spans="1:114" ht="15.75" x14ac:dyDescent="0.25">
      <c r="A34" s="42"/>
      <c r="B34" s="9"/>
      <c r="C34" s="28" t="s">
        <v>49</v>
      </c>
      <c r="D34" s="10"/>
      <c r="E34" s="31">
        <f>F33-6</f>
        <v>46111</v>
      </c>
      <c r="F34" s="31">
        <f>E34+4</f>
        <v>46115</v>
      </c>
      <c r="G34" s="13" t="s">
        <v>31</v>
      </c>
      <c r="H34" s="41">
        <v>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</row>
    <row r="35" spans="1:114" ht="15.75" x14ac:dyDescent="0.25">
      <c r="A35" s="42"/>
      <c r="B35" s="9"/>
      <c r="C35" s="28" t="s">
        <v>50</v>
      </c>
      <c r="D35" s="10"/>
      <c r="E35" s="31">
        <f>F34-2</f>
        <v>46113</v>
      </c>
      <c r="F35" s="31">
        <f>E35+4</f>
        <v>46117</v>
      </c>
      <c r="G35" s="13" t="s">
        <v>31</v>
      </c>
      <c r="H35" s="41">
        <v>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</row>
    <row r="36" spans="1:114" ht="15.75" x14ac:dyDescent="0.25">
      <c r="A36" s="42"/>
      <c r="B36" s="9"/>
      <c r="C36" s="9"/>
      <c r="D36" s="10"/>
      <c r="E36" s="7"/>
      <c r="F36" s="7"/>
      <c r="G36" s="13"/>
      <c r="H36" s="4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</row>
    <row r="37" spans="1:114" ht="15.75" x14ac:dyDescent="0.25">
      <c r="A37" s="40">
        <v>6</v>
      </c>
      <c r="B37" s="27" t="s">
        <v>51</v>
      </c>
      <c r="C37" s="28" t="s">
        <v>52</v>
      </c>
      <c r="D37" s="7"/>
      <c r="E37" s="31">
        <f>F35-9</f>
        <v>46108</v>
      </c>
      <c r="F37" s="31">
        <f>E37+7</f>
        <v>46115</v>
      </c>
      <c r="G37" s="13" t="s">
        <v>31</v>
      </c>
      <c r="H37" s="41">
        <v>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</row>
    <row r="38" spans="1:114" ht="15.75" x14ac:dyDescent="0.25">
      <c r="A38" s="42"/>
      <c r="B38" s="9"/>
      <c r="C38" s="28" t="s">
        <v>53</v>
      </c>
      <c r="D38" s="10"/>
      <c r="E38" s="31">
        <f>F37-7</f>
        <v>46108</v>
      </c>
      <c r="F38" s="31">
        <f>E38+6</f>
        <v>46114</v>
      </c>
      <c r="G38" s="13" t="s">
        <v>31</v>
      </c>
      <c r="H38" s="41">
        <v>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</row>
    <row r="39" spans="1:114" ht="15.75" x14ac:dyDescent="0.25">
      <c r="A39" s="42"/>
      <c r="B39" s="9"/>
      <c r="C39" s="28" t="s">
        <v>54</v>
      </c>
      <c r="D39" s="10"/>
      <c r="E39" s="31">
        <f>F38-1</f>
        <v>46113</v>
      </c>
      <c r="F39" s="31">
        <f>E39+6</f>
        <v>46119</v>
      </c>
      <c r="G39" s="13" t="s">
        <v>31</v>
      </c>
      <c r="H39" s="41"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</row>
    <row r="40" spans="1:114" ht="15.75" x14ac:dyDescent="0.25">
      <c r="A40" s="42"/>
      <c r="B40" s="9"/>
      <c r="C40" s="28" t="s">
        <v>55</v>
      </c>
      <c r="D40" s="10"/>
      <c r="E40" s="31">
        <f>F39-4</f>
        <v>46115</v>
      </c>
      <c r="F40" s="31">
        <f>E40+6</f>
        <v>46121</v>
      </c>
      <c r="G40" s="13" t="s">
        <v>31</v>
      </c>
      <c r="H40" s="41">
        <v>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</row>
    <row r="41" spans="1:114" ht="15.75" x14ac:dyDescent="0.25">
      <c r="A41" s="42"/>
      <c r="B41" s="9"/>
      <c r="C41" s="28" t="s">
        <v>56</v>
      </c>
      <c r="D41" s="10"/>
      <c r="E41" s="31">
        <f>F40-4</f>
        <v>46117</v>
      </c>
      <c r="F41" s="31">
        <f>E41+5</f>
        <v>46122</v>
      </c>
      <c r="G41" s="13" t="s">
        <v>31</v>
      </c>
      <c r="H41" s="41">
        <v>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</row>
    <row r="42" spans="1:114" ht="15.75" x14ac:dyDescent="0.25">
      <c r="A42" s="42"/>
      <c r="B42" s="9"/>
      <c r="C42" s="9"/>
      <c r="D42" s="10"/>
      <c r="E42" s="7"/>
      <c r="F42" s="7"/>
      <c r="G42" s="13"/>
      <c r="H42" s="46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</row>
    <row r="43" spans="1:114" ht="15.75" x14ac:dyDescent="0.25">
      <c r="A43" s="40">
        <v>7</v>
      </c>
      <c r="B43" s="27" t="s">
        <v>57</v>
      </c>
      <c r="C43" s="28" t="s">
        <v>13</v>
      </c>
      <c r="D43" s="7"/>
      <c r="E43" s="31">
        <f>F41+7</f>
        <v>46129</v>
      </c>
      <c r="F43" s="31">
        <f>E43</f>
        <v>46129</v>
      </c>
      <c r="G43" s="13" t="s">
        <v>31</v>
      </c>
      <c r="H43" s="41">
        <v>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</row>
    <row r="44" spans="1:114" ht="15.75" x14ac:dyDescent="0.25">
      <c r="A44" s="42"/>
      <c r="B44" s="9"/>
      <c r="C44" s="28" t="s">
        <v>58</v>
      </c>
      <c r="D44" s="10"/>
      <c r="E44" s="31">
        <f>F43-7</f>
        <v>46122</v>
      </c>
      <c r="F44" s="31">
        <f>E44+7</f>
        <v>46129</v>
      </c>
      <c r="G44" s="13" t="s">
        <v>31</v>
      </c>
      <c r="H44" s="41">
        <v>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</row>
    <row r="45" spans="1:114" ht="15.75" x14ac:dyDescent="0.25">
      <c r="A45" s="42"/>
      <c r="B45" s="9"/>
      <c r="C45" s="28" t="s">
        <v>59</v>
      </c>
      <c r="D45" s="10"/>
      <c r="E45" s="31">
        <f>F44-14</f>
        <v>46115</v>
      </c>
      <c r="F45" s="31">
        <f>E45+7</f>
        <v>46122</v>
      </c>
      <c r="G45" s="13" t="s">
        <v>31</v>
      </c>
      <c r="H45" s="41">
        <v>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</row>
    <row r="46" spans="1:114" ht="15.75" x14ac:dyDescent="0.25">
      <c r="A46" s="47"/>
      <c r="B46" s="48"/>
      <c r="C46" s="49" t="s">
        <v>60</v>
      </c>
      <c r="D46" s="48"/>
      <c r="E46" s="50">
        <f>F45</f>
        <v>46122</v>
      </c>
      <c r="F46" s="50">
        <f>E46+7</f>
        <v>46129</v>
      </c>
      <c r="G46" s="51" t="s">
        <v>31</v>
      </c>
      <c r="H46" s="52"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</row>
    <row r="47" spans="1:114" ht="15.75" x14ac:dyDescent="0.25">
      <c r="D47" s="9"/>
    </row>
    <row r="48" spans="1:114" x14ac:dyDescent="0.25">
      <c r="B48" s="35" t="s">
        <v>61</v>
      </c>
    </row>
    <row r="49" spans="2:2" x14ac:dyDescent="0.25">
      <c r="B49" s="36"/>
    </row>
    <row r="50" spans="2:2" x14ac:dyDescent="0.25">
      <c r="B50" s="36" t="s">
        <v>31</v>
      </c>
    </row>
    <row r="51" spans="2:2" x14ac:dyDescent="0.25">
      <c r="B51" s="36" t="s">
        <v>24</v>
      </c>
    </row>
    <row r="52" spans="2:2" x14ac:dyDescent="0.25">
      <c r="B52" s="36" t="s">
        <v>62</v>
      </c>
    </row>
    <row r="53" spans="2:2" x14ac:dyDescent="0.25">
      <c r="B53" s="36" t="s">
        <v>18</v>
      </c>
    </row>
  </sheetData>
  <mergeCells count="35">
    <mergeCell ref="J4:AK4"/>
    <mergeCell ref="AL4:BM4"/>
    <mergeCell ref="BN4:CV4"/>
    <mergeCell ref="CW4:DJ4"/>
    <mergeCell ref="AS3:AY3"/>
    <mergeCell ref="AZ3:BF3"/>
    <mergeCell ref="BG3:BM3"/>
    <mergeCell ref="BN3:BT3"/>
    <mergeCell ref="BU3:CA3"/>
    <mergeCell ref="CB3:CH3"/>
    <mergeCell ref="J3:P3"/>
    <mergeCell ref="J2:DJ2"/>
    <mergeCell ref="Q3:W3"/>
    <mergeCell ref="X3:AD3"/>
    <mergeCell ref="AE3:AK3"/>
    <mergeCell ref="AL3:AR3"/>
    <mergeCell ref="CI3:CO3"/>
    <mergeCell ref="CP3:CV3"/>
    <mergeCell ref="CW3:DC3"/>
    <mergeCell ref="DD3:DJ3"/>
    <mergeCell ref="J5:P5"/>
    <mergeCell ref="Q5:W5"/>
    <mergeCell ref="DD5:DJ5"/>
    <mergeCell ref="X5:AD5"/>
    <mergeCell ref="AE5:AK5"/>
    <mergeCell ref="AL5:AR5"/>
    <mergeCell ref="AS5:AY5"/>
    <mergeCell ref="AZ5:BF5"/>
    <mergeCell ref="BG5:BM5"/>
    <mergeCell ref="BN5:BT5"/>
    <mergeCell ref="BU5:CA5"/>
    <mergeCell ref="CB5:CH5"/>
    <mergeCell ref="CI5:CO5"/>
    <mergeCell ref="CP5:CV5"/>
    <mergeCell ref="CW5:DC5"/>
  </mergeCells>
  <conditionalFormatting sqref="G7:G46">
    <cfRule type="containsText" dxfId="6" priority="8" operator="containsText" text="Running Issues">
      <formula>NOT(ISERROR(SEARCH("Running Issues",G7)))</formula>
    </cfRule>
    <cfRule type="containsText" dxfId="5" priority="9" operator="containsText" text="Not Started">
      <formula>NOT(ISERROR(SEARCH("Not Started",G7)))</formula>
    </cfRule>
    <cfRule type="containsText" dxfId="4" priority="10" operator="containsText" text="In Progress">
      <formula>NOT(ISERROR(SEARCH("In Progress",G7)))</formula>
    </cfRule>
    <cfRule type="containsText" dxfId="3" priority="11" operator="containsText" text="Complete">
      <formula>NOT(ISERROR(SEARCH("Complete",G7)))</formula>
    </cfRule>
  </conditionalFormatting>
  <conditionalFormatting sqref="J7:DJ46">
    <cfRule type="expression" dxfId="2" priority="2">
      <formula>AND($G7="Complete",J$6=$F7)</formula>
    </cfRule>
    <cfRule type="expression" dxfId="1" priority="3">
      <formula>AND($H7&gt;0,J$6&lt;=($E7+($F7-$E7)*$H7)-WEEKDAY(($E7+($F7-$E7)*$H7),2)+1,J$6&gt;=$E7-WEEKDAY($E7,2)+1)</formula>
    </cfRule>
    <cfRule type="expression" dxfId="0" priority="5">
      <formula>AND(J$6&gt;=$E7-(WEEKDAY($E7,2)+1),J$6&lt;=$F7)</formula>
    </cfRule>
  </conditionalFormatting>
  <dataValidations count="1">
    <dataValidation type="list" allowBlank="1" showInputMessage="1" showErrorMessage="1" sqref="G7:G10 G12:G46" xr:uid="{D6C66903-BC6F-4FD7-871B-7430A5F4CAB6}">
      <formula1>$B$49:$B$53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c965e8-a902-47e5-90bd-4b917911c0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D6EB3BA06094982DF8BEE0AA093AB" ma:contentTypeVersion="14" ma:contentTypeDescription="Create a new document." ma:contentTypeScope="" ma:versionID="853fcdfd9b5c502ee1d5db4b71edba87">
  <xsd:schema xmlns:xsd="http://www.w3.org/2001/XMLSchema" xmlns:xs="http://www.w3.org/2001/XMLSchema" xmlns:p="http://schemas.microsoft.com/office/2006/metadata/properties" xmlns:ns3="79c965e8-a902-47e5-90bd-4b917911c093" xmlns:ns4="ac559c82-0172-446a-93e3-478ff14c1fec" targetNamespace="http://schemas.microsoft.com/office/2006/metadata/properties" ma:root="true" ma:fieldsID="9b249b5a3656869b69fd17cb58ee9eda" ns3:_="" ns4:_="">
    <xsd:import namespace="79c965e8-a902-47e5-90bd-4b917911c093"/>
    <xsd:import namespace="ac559c82-0172-446a-93e3-478ff14c1f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BillingMetadata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965e8-a902-47e5-90bd-4b917911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59c82-0172-446a-93e3-478ff14c1f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150CF0-24D0-4412-9989-DCEF2149F8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C6FF51-679D-4480-B134-F075271B0506}">
  <ds:schemaRefs>
    <ds:schemaRef ds:uri="http://schemas.microsoft.com/office/2006/metadata/properties"/>
    <ds:schemaRef ds:uri="http://schemas.microsoft.com/office/infopath/2007/PartnerControls"/>
    <ds:schemaRef ds:uri="79c965e8-a902-47e5-90bd-4b917911c093"/>
  </ds:schemaRefs>
</ds:datastoreItem>
</file>

<file path=customXml/itemProps3.xml><?xml version="1.0" encoding="utf-8"?>
<ds:datastoreItem xmlns:ds="http://schemas.openxmlformats.org/officeDocument/2006/customXml" ds:itemID="{6D480840-D9B6-4C46-94C7-6D98D0E2D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c965e8-a902-47e5-90bd-4b917911c093"/>
    <ds:schemaRef ds:uri="ac559c82-0172-446a-93e3-478ff14c1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Fernandez</dc:creator>
  <cp:keywords/>
  <dc:description/>
  <cp:lastModifiedBy>Lauryn Brown</cp:lastModifiedBy>
  <cp:revision/>
  <dcterms:created xsi:type="dcterms:W3CDTF">2026-01-05T21:57:23Z</dcterms:created>
  <dcterms:modified xsi:type="dcterms:W3CDTF">2026-02-16T01:41:35Z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0x010100CE3D6EB3BA06094982DF8BEE0AA093AB</vt:lpwstr>
  </property>
</Properties>
</file>